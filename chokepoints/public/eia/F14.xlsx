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FS-F1\l6010\PRJ\01-CABs, RABs, &amp; CANs 2013\CABs\V6\Chokepoints\2026\ForPosting\"/>
    </mc:Choice>
  </mc:AlternateContent>
  <xr:revisionPtr revIDLastSave="0" documentId="13_ncr:1_{040D4E5C-4F11-4D29-925E-D2BF40C810E0}" xr6:coauthVersionLast="47" xr6:coauthVersionMax="47" xr10:uidLastSave="{00000000-0000-0000-0000-000000000000}"/>
  <bookViews>
    <workbookView xWindow="28680" yWindow="-120" windowWidth="29040" windowHeight="15720" activeTab="1" xr2:uid="{D0D4E978-75B9-42F5-B7CF-CF6F7768D389}"/>
  </bookViews>
  <sheets>
    <sheet name="CrudeByOrigin_F14" sheetId="1" r:id="rId1"/>
    <sheet name="CrudeByDestination_F1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<sst xmlns="http://schemas.openxmlformats.org/spreadsheetml/2006/main" count="31" uniqueCount="26">
  <si>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Notes: · All estimates are in million barrels per day.</t>
  </si>
  <si>
    <t>Sources: Vortexa.</t>
  </si>
  <si>
    <t>See combined chart on ByDestination tab</t>
  </si>
  <si>
    <t>Notes: · All estimates are in million barrels per day. Dates are based on loading date.</t>
  </si>
  <si>
    <t>China</t>
  </si>
  <si>
    <t>India</t>
  </si>
  <si>
    <t>South Korea</t>
  </si>
  <si>
    <t>Taiwan</t>
  </si>
  <si>
    <t>Indonesia</t>
  </si>
  <si>
    <t>Singapore</t>
  </si>
  <si>
    <t>other Asia &amp; Oceania</t>
  </si>
  <si>
    <t>Europe</t>
  </si>
  <si>
    <t>United States</t>
  </si>
  <si>
    <t>other</t>
  </si>
  <si>
    <t>Brazil</t>
  </si>
  <si>
    <t>other Americas</t>
  </si>
  <si>
    <t>Angola</t>
  </si>
  <si>
    <t>Nigeria</t>
  </si>
  <si>
    <t>other Africa</t>
  </si>
  <si>
    <t>Iraq</t>
  </si>
  <si>
    <t>Saudi Arabia</t>
  </si>
  <si>
    <t>Kazakhstan</t>
  </si>
  <si>
    <t>1H25</t>
  </si>
  <si>
    <t>million barrels per day</t>
  </si>
  <si>
    <t>Figure 14. Volume of crude oil and condensate transported around the Cape of Good Hope, by origin</t>
  </si>
  <si>
    <t>Figure 14. Volume of crude oil and condensate transported around the Cape of Good Hope, by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</si>
</sst>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.0000_);_(* \(#,##0.0000\);_(* &quot;-&quot;??_);_(@_)"/>
  </numFmts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rgb="FF333333"/>
      <name val="Times New Roman"/>
      <family val="1"/>
    </font>
    <font>
      <sz val="11"/>
      <color theme="1"/>
      <name val="Arial"/>
      <family val="2"/>
    </font>
    <font>
      <b/>
      <sz val="9"/>
      <color rgb="FF333333"/>
      <name val="Times New Roman"/>
      <family val="1"/>
    </font>
    <font>
      <sz val="9"/>
      <color rgb="FF333333"/>
      <name val="Times New Roman"/>
      <family val="1"/>
    </font>
    <font>
      <sz val="9"/>
      <color theme="1" tint="0.499984740745262"/>
      <name val="Times New Roman"/>
      <family val="1"/>
    </font>
    <font>
      <sz val="11"/>
      <color theme="0" tint="-0.499984740745262"/>
      <name val="Arial"/>
      <family val="2"/>
    </font>
    <font>
      <sz val="10"/>
      <color rgb="FF000000"/>
      <name val="Arial"/>
      <family val="2"/>
    </font>
    <font>
      <b/>
      <u/>
      <sz val="11"/>
      <color rgb="FF00B050"/>
      <name val="Arial"/>
      <family val="2"/>
    </font>
    <font>
      <sz val="11"/>
      <color rgb="FFFF0000"/>
      <name val="Arial"/>
      <family val="2"/>
    </font>
    <font>
      <b/>
      <sz val="10"/>
      <color rgb="FF189BD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189BD7"/>
      </bottom>
      <diagonal/>
    </border>
    <border>
      <left/>
      <right/>
      <top/>
      <bottom style="mediumDashed">
        <color rgb="FFCCCCCC"/>
      </bottom>
      <diagonal/>
    </border>
    <border>
      <left/>
      <right/>
      <top style="mediumDashed">
        <color theme="2" tint="0.79992065187536243"/>
      </top>
      <bottom style="thick">
        <color rgb="FF189BD7"/>
      </bottom>
      <diagonal/>
    </border>
    <border>
      <left/>
      <right/>
      <top style="thick">
        <color rgb="FF189BD7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3" fillId="2" borderId="0" xfId="2" applyFont="1" applyFill="1" applyAlignment="1">
      <alignment vertical="center"/>
    </xf>
    <xf numFmtId="0" fontId="4" fillId="2" borderId="0" xfId="2" applyFont="1" applyFill="1"/>
    <xf numFmtId="0" fontId="5" fillId="0" borderId="1" xfId="2" applyFont="1" applyBorder="1" applyAlignment="1">
      <alignment vertical="center" wrapText="1"/>
    </xf>
    <xf numFmtId="0" fontId="5" fillId="0" borderId="1" xfId="2" applyFont="1" applyBorder="1" applyAlignment="1">
      <alignment horizontal="right" vertical="center" wrapText="1"/>
    </xf>
    <xf numFmtId="0" fontId="6" fillId="2" borderId="2" xfId="2" applyFont="1" applyFill="1" applyBorder="1" applyAlignment="1">
      <alignment horizontal="left" vertical="center" wrapText="1" indent="1"/>
    </xf>
    <xf numFmtId="164" fontId="6" fillId="2" borderId="2" xfId="2" applyNumberFormat="1" applyFont="1" applyFill="1" applyBorder="1" applyAlignment="1">
      <alignment horizontal="right" vertical="center" wrapText="1"/>
    </xf>
    <xf numFmtId="165" fontId="6" fillId="2" borderId="3" xfId="3" applyNumberFormat="1" applyFont="1" applyFill="1" applyBorder="1" applyAlignment="1">
      <alignment horizontal="left" vertical="center" wrapText="1"/>
    </xf>
    <xf numFmtId="165" fontId="6" fillId="2" borderId="3" xfId="3" applyNumberFormat="1" applyFont="1" applyFill="1" applyBorder="1" applyAlignment="1">
      <alignment horizontal="right" vertical="center" wrapText="1"/>
    </xf>
    <xf numFmtId="0" fontId="8" fillId="2" borderId="0" xfId="2" applyFont="1" applyFill="1"/>
    <xf numFmtId="9" fontId="4" fillId="2" borderId="0" xfId="1" applyFont="1" applyFill="1"/>
    <xf numFmtId="4" fontId="9" fillId="0" borderId="0" xfId="0" applyNumberFormat="1" applyFont="1"/>
    <xf numFmtId="4" fontId="4" fillId="2" borderId="0" xfId="2" applyNumberFormat="1" applyFont="1" applyFill="1"/>
    <xf numFmtId="164" fontId="4" fillId="2" borderId="0" xfId="2" applyNumberFormat="1" applyFont="1" applyFill="1"/>
    <xf numFmtId="166" fontId="4" fillId="2" borderId="0" xfId="2" applyNumberFormat="1" applyFont="1" applyFill="1"/>
    <xf numFmtId="0" fontId="10" fillId="2" borderId="0" xfId="2" applyFont="1" applyFill="1"/>
    <xf numFmtId="0" fontId="6" fillId="0" borderId="2" xfId="2" applyFont="1" applyBorder="1" applyAlignment="1">
      <alignment horizontal="left" vertical="center" wrapText="1" indent="1"/>
    </xf>
    <xf numFmtId="164" fontId="6" fillId="0" borderId="2" xfId="2" applyNumberFormat="1" applyFont="1" applyBorder="1" applyAlignment="1">
      <alignment horizontal="right" vertical="center" wrapText="1"/>
    </xf>
    <xf numFmtId="0" fontId="4" fillId="0" borderId="0" xfId="2" applyFont="1"/>
    <xf numFmtId="165" fontId="6" fillId="0" borderId="3" xfId="3" applyNumberFormat="1" applyFont="1" applyFill="1" applyBorder="1" applyAlignment="1">
      <alignment horizontal="left" vertical="center" wrapText="1"/>
    </xf>
    <xf numFmtId="165" fontId="6" fillId="0" borderId="3" xfId="3" applyNumberFormat="1" applyFont="1" applyFill="1" applyBorder="1" applyAlignment="1">
      <alignment horizontal="right" vertical="center" wrapText="1"/>
    </xf>
    <xf numFmtId="0" fontId="11" fillId="2" borderId="0" xfId="2" applyFont="1" applyFill="1"/>
    <xf numFmtId="0" fontId="7" fillId="2" borderId="4" xfId="2" applyFont="1" applyFill="1" applyBorder="1" applyAlignment="1">
      <alignment horizontal="left" vertical="center" wrapText="1"/>
    </xf>
    <xf numFmtId="0" fontId="7" fillId="2" borderId="0" xfId="2" applyFont="1" applyFill="1" applyAlignment="1">
      <alignment horizontal="left" vertical="center" wrapText="1"/>
    </xf>
    <xf numFmtId="0" fontId="5" fillId="0" borderId="1" xfId="2" applyFont="1" applyBorder="1" applyAlignment="1">
      <alignment horizontal="left" vertical="center" wrapText="1"/>
    </xf>
    <xf numFmtId="0" fontId="12" fillId="2" borderId="0" xfId="2" applyFont="1" applyFill="1" applyAlignment="1">
      <alignment vertical="center"/>
    </xf>
  </cellXfs>
  <cellStyles count="4">
    <cellStyle name="Comma 2" xfId="3" xr:uid="{414548FE-B0A3-480F-B863-9E5AAD50629E}"/>
    <cellStyle name="Normal" xfId="0" builtinId="0"/>
    <cellStyle name="Normal 2" xfId="2" xr:uid="{AFCF8ABB-A9FD-439E-A3D2-D3D430DE2E9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8680248886624"/>
          <c:y val="0.22216892014123474"/>
          <c:w val="0.44871850118441603"/>
          <c:h val="0.5577890008091743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CrudeByDestination_F14!$A$3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CrudeByDestination_F14!$B$3:$G$3</c:f>
              <c:numCache>
                <c:formatCode>0.0</c:formatCode>
                <c:ptCount val="6"/>
                <c:pt idx="0">
                  <c:v>3.3904391229508195</c:v>
                </c:pt>
                <c:pt idx="1">
                  <c:v>2.5698231945205481</c:v>
                </c:pt>
                <c:pt idx="2">
                  <c:v>2.0761453643835615</c:v>
                </c:pt>
                <c:pt idx="3">
                  <c:v>2.5312484767123289</c:v>
                </c:pt>
                <c:pt idx="4">
                  <c:v>2.2352646502732241</c:v>
                </c:pt>
                <c:pt idx="5">
                  <c:v>2.522721303867403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4-411B-9EDE-A456EAAE8A28}"/>
            </c:ext>
          </c:extLst>
        </c:ser>
        <c:ser>
          <c:idx val="2"/>
          <c:order val="1"/>
          <c:tx>
            <c:strRef>
              <c:f>CrudeByDestination_F14!$A$4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CrudeByDestination_F14!$B$4:$G$4</c:f>
              <c:numCache>
                <c:formatCode>0.0</c:formatCode>
                <c:ptCount val="6"/>
                <c:pt idx="0">
                  <c:v>1.0231091393442622</c:v>
                </c:pt>
                <c:pt idx="1">
                  <c:v>1.1445822876712328</c:v>
                </c:pt>
                <c:pt idx="2">
                  <c:v>0.76536178356164386</c:v>
                </c:pt>
                <c:pt idx="3">
                  <c:v>0.52863022739726029</c:v>
                </c:pt>
                <c:pt idx="4">
                  <c:v>0.69998218579234983</c:v>
                </c:pt>
                <c:pt idx="5">
                  <c:v>0.83311624861878453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44-411B-9EDE-A456EAAE8A28}"/>
            </c:ext>
          </c:extLst>
        </c:ser>
        <c:ser>
          <c:idx val="0"/>
          <c:order val="2"/>
          <c:tx>
            <c:strRef>
              <c:f>CrudeByDestination_F14!$A$5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CrudeByDestination_F14!$B$5:$G$5</c:f>
              <c:numCache>
                <c:formatCode>0.0</c:formatCode>
                <c:ptCount val="6"/>
                <c:pt idx="0">
                  <c:v>0.50672698087431689</c:v>
                </c:pt>
                <c:pt idx="1">
                  <c:v>0.67953672876712323</c:v>
                </c:pt>
                <c:pt idx="2">
                  <c:v>0.57915371780821923</c:v>
                </c:pt>
                <c:pt idx="3">
                  <c:v>0.56490512602739729</c:v>
                </c:pt>
                <c:pt idx="4">
                  <c:v>0.66951555464480883</c:v>
                </c:pt>
                <c:pt idx="5">
                  <c:v>0.71662790607734816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44-411B-9EDE-A456EAAE8A28}"/>
            </c:ext>
          </c:extLst>
        </c:ser>
        <c:ser>
          <c:idx val="3"/>
          <c:order val="3"/>
          <c:tx>
            <c:strRef>
              <c:f>CrudeByDestination_F14!$A$6</c:f>
              <c:strCache>
                <c:ptCount val="1"/>
                <c:pt idx="0">
                  <c:v>Taiwan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CrudeByDestination_F14!$B$6:$G$6</c:f>
              <c:numCache>
                <c:formatCode>0.0</c:formatCode>
                <c:ptCount val="6"/>
                <c:pt idx="0">
                  <c:v>0.18702970491803278</c:v>
                </c:pt>
                <c:pt idx="1">
                  <c:v>0.19340529041095889</c:v>
                </c:pt>
                <c:pt idx="2">
                  <c:v>0.19510847671232878</c:v>
                </c:pt>
                <c:pt idx="3">
                  <c:v>0.23832109041095892</c:v>
                </c:pt>
                <c:pt idx="4">
                  <c:v>0.21864625136612023</c:v>
                </c:pt>
                <c:pt idx="5">
                  <c:v>0.25836533701657455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44-411B-9EDE-A456EAAE8A28}"/>
            </c:ext>
          </c:extLst>
        </c:ser>
        <c:ser>
          <c:idx val="5"/>
          <c:order val="4"/>
          <c:tx>
            <c:strRef>
              <c:f>CrudeByDestination_F14!$A$7</c:f>
              <c:strCache>
                <c:ptCount val="1"/>
                <c:pt idx="0">
                  <c:v>Indonesia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CrudeByDestination_F14!$B$7:$G$7</c:f>
              <c:numCache>
                <c:formatCode>0.0</c:formatCode>
                <c:ptCount val="6"/>
                <c:pt idx="0">
                  <c:v>8.6438349726775957E-2</c:v>
                </c:pt>
                <c:pt idx="1">
                  <c:v>0.11080325205479452</c:v>
                </c:pt>
                <c:pt idx="2">
                  <c:v>0.17635915342465755</c:v>
                </c:pt>
                <c:pt idx="3">
                  <c:v>0.24247769863013699</c:v>
                </c:pt>
                <c:pt idx="4">
                  <c:v>0.20960901639344262</c:v>
                </c:pt>
                <c:pt idx="5">
                  <c:v>0.20167875690607737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44-411B-9EDE-A456EAAE8A28}"/>
            </c:ext>
          </c:extLst>
        </c:ser>
        <c:ser>
          <c:idx val="9"/>
          <c:order val="5"/>
          <c:tx>
            <c:strRef>
              <c:f>CrudeByDestination_F14!$A$8</c:f>
              <c:strCache>
                <c:ptCount val="1"/>
                <c:pt idx="0">
                  <c:v>Singapore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CrudeByDestination_F14!$B$8:$G$8</c:f>
              <c:numCache>
                <c:formatCode>0.0</c:formatCode>
                <c:ptCount val="6"/>
                <c:pt idx="0">
                  <c:v>0.18505769672131148</c:v>
                </c:pt>
                <c:pt idx="1">
                  <c:v>0.2281534109589041</c:v>
                </c:pt>
                <c:pt idx="2">
                  <c:v>0.36806115616438356</c:v>
                </c:pt>
                <c:pt idx="3">
                  <c:v>0.33700861643835617</c:v>
                </c:pt>
                <c:pt idx="4">
                  <c:v>0.37363713934426229</c:v>
                </c:pt>
                <c:pt idx="5">
                  <c:v>0.19169914917127073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44-411B-9EDE-A456EAAE8A28}"/>
            </c:ext>
          </c:extLst>
        </c:ser>
        <c:ser>
          <c:idx val="6"/>
          <c:order val="6"/>
          <c:tx>
            <c:strRef>
              <c:f>CrudeByDestination_F14!$A$9</c:f>
              <c:strCache>
                <c:ptCount val="1"/>
                <c:pt idx="0">
                  <c:v>other Asia &amp; Oceania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CrudeByDestination_F14!$B$9:$G$9</c:f>
              <c:numCache>
                <c:formatCode>0.0</c:formatCode>
                <c:ptCount val="6"/>
                <c:pt idx="0">
                  <c:v>0.36566915300546449</c:v>
                </c:pt>
                <c:pt idx="1">
                  <c:v>0.23656848493150687</c:v>
                </c:pt>
                <c:pt idx="2">
                  <c:v>0.22774826301369863</c:v>
                </c:pt>
                <c:pt idx="3">
                  <c:v>0.32444865479452056</c:v>
                </c:pt>
                <c:pt idx="4">
                  <c:v>0.38905316666666667</c:v>
                </c:pt>
                <c:pt idx="5">
                  <c:v>0.47898402762430942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44-411B-9EDE-A456EAAE8A28}"/>
            </c:ext>
          </c:extLst>
        </c:ser>
        <c:ser>
          <c:idx val="7"/>
          <c:order val="7"/>
          <c:tx>
            <c:strRef>
              <c:f>CrudeByDestination_F14!$A$10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CrudeByDestination_F14!$B$10:$G$10</c:f>
              <c:numCache>
                <c:formatCode>0.0</c:formatCode>
                <c:ptCount val="6"/>
                <c:pt idx="0">
                  <c:v>3.6937666666666667E-2</c:v>
                </c:pt>
                <c:pt idx="1">
                  <c:v>3.8208493150684929E-3</c:v>
                </c:pt>
                <c:pt idx="2">
                  <c:v>3.2369654794520544E-2</c:v>
                </c:pt>
                <c:pt idx="3">
                  <c:v>2.342358904109589E-3</c:v>
                </c:pt>
                <c:pt idx="4">
                  <c:v>0.60727233606557374</c:v>
                </c:pt>
                <c:pt idx="5">
                  <c:v>0.48923009944751378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E44-411B-9EDE-A456EAAE8A28}"/>
            </c:ext>
          </c:extLst>
        </c:ser>
        <c:ser>
          <c:idx val="8"/>
          <c:order val="8"/>
          <c:tx>
            <c:strRef>
              <c:f>CrudeByDestination_F14!$A$11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CrudeByDestination_F14!$B$11:$G$11</c:f>
              <c:numCache>
                <c:formatCode>0.0</c:formatCode>
                <c:ptCount val="6"/>
                <c:pt idx="0">
                  <c:v>0.32316045355191259</c:v>
                </c:pt>
                <c:pt idx="1">
                  <c:v>0.28231938082191782</c:v>
                </c:pt>
                <c:pt idx="2">
                  <c:v>0.25985383835616438</c:v>
                </c:pt>
                <c:pt idx="3">
                  <c:v>0.16975961369863016</c:v>
                </c:pt>
                <c:pt idx="4">
                  <c:v>0.24623138251366122</c:v>
                </c:pt>
                <c:pt idx="5">
                  <c:v>0.19436896685082872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44-411B-9EDE-A456EAAE8A28}"/>
            </c:ext>
          </c:extLst>
        </c:ser>
        <c:ser>
          <c:idx val="4"/>
          <c:order val="9"/>
          <c:tx>
            <c:strRef>
              <c:f>CrudeByDestination_F14!$A$12</c:f>
              <c:strCache>
                <c:ptCount val="1"/>
                <c:pt idx="0">
                  <c:v> other 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CrudeByDestination_F14!$B$12:$G$12</c:f>
              <c:numCache>
                <c:formatCode>_(* #,##0.0_);_(* \(#,##0.0\);_(* "-"??_);_(@_)</c:formatCode>
                <c:ptCount val="6"/>
                <c:pt idx="0">
                  <c:v>0.43123324316939893</c:v>
                </c:pt>
                <c:pt idx="1">
                  <c:v>0.35090821643835618</c:v>
                </c:pt>
                <c:pt idx="2">
                  <c:v>0.24755528219178083</c:v>
                </c:pt>
                <c:pt idx="3">
                  <c:v>0.1622053205479452</c:v>
                </c:pt>
                <c:pt idx="4">
                  <c:v>0.19795447267759561</c:v>
                </c:pt>
                <c:pt idx="5">
                  <c:v>0.23252890055248618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E44-411B-9EDE-A456EAAE8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100"/>
        <c:axId val="478577440"/>
        <c:axId val="478576880"/>
        <c:extLst/>
      </c:barChart>
      <c:catAx>
        <c:axId val="47857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76880"/>
        <c:crosses val="autoZero"/>
        <c:auto val="1"/>
        <c:lblAlgn val="ctr"/>
        <c:lblOffset val="100"/>
        <c:noMultiLvlLbl val="0"/>
      </c:catAx>
      <c:valAx>
        <c:axId val="47857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7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152350314855447"/>
          <c:y val="0.14133318451965735"/>
          <c:w val="0.42468200630647679"/>
          <c:h val="0.726783299385213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150079950260516E-2"/>
          <c:y val="0.22216884048695371"/>
          <c:w val="0.48177731725259088"/>
          <c:h val="0.5681285676395193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CrudeByOrigin_F14!$A$3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CrudeByOrigin_F14!$B$3:$G$3</c:f>
              <c:numCache>
                <c:formatCode>0.0</c:formatCode>
                <c:ptCount val="6"/>
                <c:pt idx="0">
                  <c:v>1.2359617759562842</c:v>
                </c:pt>
                <c:pt idx="1">
                  <c:v>1.1388796767123288</c:v>
                </c:pt>
                <c:pt idx="2">
                  <c:v>1.2689390767123288</c:v>
                </c:pt>
                <c:pt idx="3">
                  <c:v>1.6356113671232877</c:v>
                </c:pt>
                <c:pt idx="4">
                  <c:v>1.4760996065573773</c:v>
                </c:pt>
                <c:pt idx="5">
                  <c:v>1.3867835524861878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5-4BD6-8D38-B82B3896D9C7}"/>
            </c:ext>
          </c:extLst>
        </c:ser>
        <c:ser>
          <c:idx val="2"/>
          <c:order val="1"/>
          <c:tx>
            <c:strRef>
              <c:f>CrudeByOrigin_F14!$A$4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CrudeByOrigin_F14!$B$4:$G$4</c:f>
              <c:numCache>
                <c:formatCode>0.0</c:formatCode>
                <c:ptCount val="6"/>
                <c:pt idx="0">
                  <c:v>1.0110945109289617</c:v>
                </c:pt>
                <c:pt idx="1">
                  <c:v>0.81939153424657529</c:v>
                </c:pt>
                <c:pt idx="2">
                  <c:v>0.71304374520547942</c:v>
                </c:pt>
                <c:pt idx="3">
                  <c:v>0.91672710684931502</c:v>
                </c:pt>
                <c:pt idx="4">
                  <c:v>0.89908628415300551</c:v>
                </c:pt>
                <c:pt idx="5">
                  <c:v>1.0710782486187844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45-4BD6-8D38-B82B3896D9C7}"/>
            </c:ext>
          </c:extLst>
        </c:ser>
        <c:ser>
          <c:idx val="0"/>
          <c:order val="2"/>
          <c:tx>
            <c:strRef>
              <c:f>CrudeByOrigin_F14!$A$5</c:f>
              <c:strCache>
                <c:ptCount val="1"/>
                <c:pt idx="0">
                  <c:v>other Americas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CrudeByOrigin_F14!$B$5:$G$5</c:f>
              <c:numCache>
                <c:formatCode>0.0</c:formatCode>
                <c:ptCount val="6"/>
                <c:pt idx="0">
                  <c:v>0.70690134153005457</c:v>
                </c:pt>
                <c:pt idx="1">
                  <c:v>0.70246501369863013</c:v>
                </c:pt>
                <c:pt idx="2">
                  <c:v>0.64671346027397258</c:v>
                </c:pt>
                <c:pt idx="3">
                  <c:v>0.6035948739726027</c:v>
                </c:pt>
                <c:pt idx="4">
                  <c:v>0.5857819344262295</c:v>
                </c:pt>
                <c:pt idx="5">
                  <c:v>0.67954112154696134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45-4BD6-8D38-B82B3896D9C7}"/>
            </c:ext>
          </c:extLst>
        </c:ser>
        <c:ser>
          <c:idx val="3"/>
          <c:order val="3"/>
          <c:tx>
            <c:strRef>
              <c:f>CrudeByOrigin_F14!$A$6</c:f>
              <c:strCache>
                <c:ptCount val="1"/>
                <c:pt idx="0">
                  <c:v>Angola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CrudeByOrigin_F14!$B$6:$G$6</c:f>
              <c:numCache>
                <c:formatCode>0.0</c:formatCode>
                <c:ptCount val="6"/>
                <c:pt idx="0">
                  <c:v>1.0290349071038252</c:v>
                </c:pt>
                <c:pt idx="1">
                  <c:v>0.96567211780821915</c:v>
                </c:pt>
                <c:pt idx="2">
                  <c:v>0.74961990410958901</c:v>
                </c:pt>
                <c:pt idx="3">
                  <c:v>0.73113921917808222</c:v>
                </c:pt>
                <c:pt idx="4">
                  <c:v>0.76408414207650266</c:v>
                </c:pt>
                <c:pt idx="5">
                  <c:v>0.76812858563535913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45-4BD6-8D38-B82B3896D9C7}"/>
            </c:ext>
          </c:extLst>
        </c:ser>
        <c:ser>
          <c:idx val="4"/>
          <c:order val="4"/>
          <c:tx>
            <c:strRef>
              <c:f>CrudeByOrigin_F14!$A$7</c:f>
              <c:strCache>
                <c:ptCount val="1"/>
                <c:pt idx="0">
                  <c:v>Nigeria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CrudeByOrigin_F14!$B$2:$G$2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CrudeByOrigin_F14!$B$7:$G$7</c:f>
              <c:numCache>
                <c:formatCode>0.0</c:formatCode>
                <c:ptCount val="6"/>
                <c:pt idx="0">
                  <c:v>0.73735365846994538</c:v>
                </c:pt>
                <c:pt idx="1">
                  <c:v>0.57282529041095887</c:v>
                </c:pt>
                <c:pt idx="2">
                  <c:v>0.44347579726027397</c:v>
                </c:pt>
                <c:pt idx="3">
                  <c:v>0.36508661369863016</c:v>
                </c:pt>
                <c:pt idx="4">
                  <c:v>0.30865178142076499</c:v>
                </c:pt>
                <c:pt idx="5">
                  <c:v>0.3840327679558011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45-4BD6-8D38-B82B3896D9C7}"/>
            </c:ext>
          </c:extLst>
        </c:ser>
        <c:ser>
          <c:idx val="5"/>
          <c:order val="5"/>
          <c:tx>
            <c:strRef>
              <c:f>CrudeByOrigin_F14!$A$8</c:f>
              <c:strCache>
                <c:ptCount val="1"/>
                <c:pt idx="0">
                  <c:v>other Africa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CrudeByOrigin_F14!$B$8:$G$8</c:f>
              <c:numCache>
                <c:formatCode>0.0</c:formatCode>
                <c:ptCount val="6"/>
                <c:pt idx="0">
                  <c:v>0.79503475683060121</c:v>
                </c:pt>
                <c:pt idx="1">
                  <c:v>0.70050047945205474</c:v>
                </c:pt>
                <c:pt idx="2">
                  <c:v>0.49850482191780821</c:v>
                </c:pt>
                <c:pt idx="3">
                  <c:v>0.51290790684931509</c:v>
                </c:pt>
                <c:pt idx="4">
                  <c:v>0.67179675683060114</c:v>
                </c:pt>
                <c:pt idx="5">
                  <c:v>0.74072044751381216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45-4BD6-8D38-B82B3896D9C7}"/>
            </c:ext>
          </c:extLst>
        </c:ser>
        <c:ser>
          <c:idx val="6"/>
          <c:order val="6"/>
          <c:tx>
            <c:strRef>
              <c:f>CrudeByOrigin_F14!$A$9</c:f>
              <c:strCache>
                <c:ptCount val="1"/>
                <c:pt idx="0">
                  <c:v>Iraq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CrudeByOrigin_F14!$B$2:$G$2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CrudeByOrigin_F14!$B$9:$G$9</c:f>
              <c:numCache>
                <c:formatCode>0.0</c:formatCode>
                <c:ptCount val="6"/>
                <c:pt idx="0">
                  <c:v>5.3122363387978142E-2</c:v>
                </c:pt>
                <c:pt idx="1">
                  <c:v>2.8734068493150685E-2</c:v>
                </c:pt>
                <c:pt idx="2">
                  <c:v>3.4643695890410962E-2</c:v>
                </c:pt>
                <c:pt idx="3">
                  <c:v>0</c:v>
                </c:pt>
                <c:pt idx="4">
                  <c:v>0.54718906010928958</c:v>
                </c:pt>
                <c:pt idx="5">
                  <c:v>0.42037544751381217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45-4BD6-8D38-B82B3896D9C7}"/>
            </c:ext>
          </c:extLst>
        </c:ser>
        <c:ser>
          <c:idx val="7"/>
          <c:order val="7"/>
          <c:tx>
            <c:strRef>
              <c:f>CrudeByOrigin_F14!$A$10</c:f>
              <c:strCache>
                <c:ptCount val="1"/>
                <c:pt idx="0">
                  <c:v>Saudi Arabia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CrudeByOrigin_F14!$B$10:$G$10</c:f>
              <c:numCache>
                <c:formatCode>0.0</c:formatCode>
                <c:ptCount val="6"/>
                <c:pt idx="0">
                  <c:v>0.3569431584699454</c:v>
                </c:pt>
                <c:pt idx="1">
                  <c:v>0.31702427671232875</c:v>
                </c:pt>
                <c:pt idx="2">
                  <c:v>0.30955113150684932</c:v>
                </c:pt>
                <c:pt idx="3">
                  <c:v>0.19112630684931506</c:v>
                </c:pt>
                <c:pt idx="4">
                  <c:v>0.29414699180327869</c:v>
                </c:pt>
                <c:pt idx="5">
                  <c:v>0.23656463535911601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445-4BD6-8D38-B82B3896D9C7}"/>
            </c:ext>
          </c:extLst>
        </c:ser>
        <c:ser>
          <c:idx val="8"/>
          <c:order val="8"/>
          <c:tx>
            <c:strRef>
              <c:f>CrudeByOrigin_F14!$A$11</c:f>
              <c:strCache>
                <c:ptCount val="1"/>
                <c:pt idx="0">
                  <c:v>Kazakhstan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CrudeByOrigin_F14!$B$11:$G$11</c:f>
              <c:numCache>
                <c:formatCode>0.0</c:formatCode>
                <c:ptCount val="6"/>
                <c:pt idx="0">
                  <c:v>1.3977355191256832E-2</c:v>
                </c:pt>
                <c:pt idx="1">
                  <c:v>1.1435301369863014E-2</c:v>
                </c:pt>
                <c:pt idx="2">
                  <c:v>1.7263753424657535E-3</c:v>
                </c:pt>
                <c:pt idx="3">
                  <c:v>2.8412054794520547E-3</c:v>
                </c:pt>
                <c:pt idx="4">
                  <c:v>4.4223893442622952E-2</c:v>
                </c:pt>
                <c:pt idx="5">
                  <c:v>0.16399090055248619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45-4BD6-8D38-B82B3896D9C7}"/>
            </c:ext>
          </c:extLst>
        </c:ser>
        <c:ser>
          <c:idx val="9"/>
          <c:order val="9"/>
          <c:tx>
            <c:strRef>
              <c:f>CrudeByOrigin_F14!$A$12</c:f>
              <c:strCache>
                <c:ptCount val="1"/>
                <c:pt idx="0">
                  <c:v> other 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CrudeByOrigin_F14!$B$2:$G$2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CrudeByOrigin_F14!$B$12:$G$12</c:f>
              <c:numCache>
                <c:formatCode>_(* #,##0.0_);_(* \(#,##0.0\);_(* "-"??_);_(@_)</c:formatCode>
                <c:ptCount val="6"/>
                <c:pt idx="0">
                  <c:v>0.5963776830601093</c:v>
                </c:pt>
                <c:pt idx="1">
                  <c:v>0.54299333698630137</c:v>
                </c:pt>
                <c:pt idx="2">
                  <c:v>0.2614986821917808</c:v>
                </c:pt>
                <c:pt idx="3">
                  <c:v>0.14231258356164384</c:v>
                </c:pt>
                <c:pt idx="4">
                  <c:v>0.25610570491803281</c:v>
                </c:pt>
                <c:pt idx="5">
                  <c:v>0.26810498895027624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445-4BD6-8D38-B82B3896D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100"/>
        <c:axId val="477923072"/>
        <c:axId val="477924192"/>
      </c:barChart>
      <c:catAx>
        <c:axId val="47792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24192"/>
        <c:crosses val="autoZero"/>
        <c:auto val="1"/>
        <c:lblAlgn val="ctr"/>
        <c:lblOffset val="100"/>
        <c:noMultiLvlLbl val="0"/>
      </c:catAx>
      <c:valAx>
        <c:axId val="4779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2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061188091496706"/>
          <c:y val="0.18192102117233272"/>
          <c:w val="0.40194386028351142"/>
          <c:h val="0.703719958869785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230188</xdr:colOff>
      <xdr:row>18</xdr:row>
      <xdr:rowOff>129886</xdr:rowOff>
    </xdr:from>
    <xdr:to>
      <xdr:col>6</xdr:col>
      <xdr:colOff>138547</xdr:colOff>
      <xdr:row>33</xdr:row>
      <xdr:rowOff>79374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2711A7-0C9A-4120-B5FE-15FBCBE89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1135063</xdr:colOff>
      <xdr:row>18</xdr:row>
      <xdr:rowOff>138545</xdr:rowOff>
    </xdr:from>
    <xdr:to>
      <xdr:col>2</xdr:col>
      <xdr:colOff>355600</xdr:colOff>
      <xdr:row>33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E1281C-8B5C-4898-AC05-9252FA55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1113413</xdr:colOff>
      <xdr:row>18</xdr:row>
      <xdr:rowOff>129165</xdr:rowOff>
    </xdr:from>
    <xdr:to>
      <xdr:col>5</xdr:col>
      <xdr:colOff>658813</xdr:colOff>
      <xdr:row>21</xdr:row>
      <xdr:rowOff>93139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A73B867F-CA05-4989-B98A-C079EF1E303C}"/>
            </a:ext>
          </a:extLst>
        </xdr:cNvPr>
        <xdr:cNvSpPr txBox="1"/>
      </xdr:nvSpPr>
      <xdr:spPr bwMode="auto">
        <a:xfrm>
          <a:off x="1113413" y="3510540"/>
          <a:ext cx="5593775" cy="5068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7432" rIns="27432" bIns="27432" rtlCol="0">
          <a:prstTxWarp prst="textNoShape">
            <a:avLst/>
          </a:prstTxWarp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eaLnBrk="0" hangingPunct="0"/>
          <a:r>
            <a:rPr lang="en-US" sz="1000" b="1" i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Figure 14.</a:t>
          </a:r>
          <a:r>
            <a:rPr lang="en-US" sz="1000" b="1" i="0" baseline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 </a:t>
          </a:r>
          <a:r>
            <a:rPr lang="en-US" sz="1000" b="1" i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Volume of crude oil and condensate transported</a:t>
          </a:r>
          <a:r>
            <a:rPr lang="en-US" sz="1000" b="1" i="0" baseline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 </a:t>
          </a:r>
          <a:r>
            <a:rPr lang="en-US" sz="1000" b="1" i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around the Cape of Good Hope</a:t>
          </a:r>
          <a:endParaRPr lang="en-US" sz="1000" i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</xdr:txBody>
    </xdr:sp>
    <xdr:clientData/>
  </xdr:twoCellAnchor>
  <xdr:twoCellAnchor editAs="oneCell">
    <xdr:from>
      <xdr:col>5</xdr:col>
      <xdr:colOff>206375</xdr:colOff>
      <xdr:row>20</xdr:row>
      <xdr:rowOff>9525</xdr:rowOff>
    </xdr:from>
    <xdr:to>
      <xdr:col>5</xdr:col>
      <xdr:colOff>581570</xdr:colOff>
      <xdr:row>21</xdr:row>
      <xdr:rowOff>111178</xdr:rowOff>
    </xdr:to>
    <xdr:pic>
      <xdr:nvPicPr>
        <xdr:cNvPr id="5" name="Picture 4" descr="Logo, icon&#10;&#10;Description automatically generated">
          <a:extLst>
            <a:ext uri="{FF2B5EF4-FFF2-40B4-BE49-F238E27FC236}">
              <a16:creationId xmlns:a16="http://schemas.microsoft.com/office/drawing/2014/main" id="{389E8E73-ECFB-418F-9CCE-D62F094D9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4750" y="3752850"/>
          <a:ext cx="375195" cy="282628"/>
        </a:xfrm>
        <a:prstGeom prst="rect">
          <a:avLst/>
        </a:prstGeom>
      </xdr:spPr>
    </xdr:pic>
    <xdr:clientData/>
  </xdr:twoCellAnchor>
  <xdr:twoCellAnchor>
    <xdr:from>
      <xdr:col>0</xdr:col>
      <xdr:colOff>1092201</xdr:colOff>
      <xdr:row>32</xdr:row>
      <xdr:rowOff>117474</xdr:rowOff>
    </xdr:from>
    <xdr:to>
      <xdr:col>5</xdr:col>
      <xdr:colOff>521278</xdr:colOff>
      <xdr:row>34</xdr:row>
      <xdr:rowOff>150812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B4F9C188-E9F3-4896-A09D-AC527903CEFF}"/>
            </a:ext>
          </a:extLst>
        </xdr:cNvPr>
        <xdr:cNvSpPr txBox="1"/>
      </xdr:nvSpPr>
      <xdr:spPr bwMode="auto">
        <a:xfrm>
          <a:off x="1092201" y="6062662"/>
          <a:ext cx="5461577" cy="3984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7432" rIns="27432" bIns="27432" rtlCol="0">
          <a:prstTxWarp prst="textNoShape">
            <a:avLst/>
          </a:prstTxWarp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eaLnBrk="0" hangingPunct="0"/>
          <a:r>
            <a:rPr lang="en-US" sz="900" b="0" i="0">
              <a:effectLst/>
              <a:latin typeface="+mn-lt"/>
              <a:ea typeface="+mn-ea"/>
              <a:cs typeface="+mn-cs"/>
            </a:rPr>
            <a:t>Data source: Vortexa</a:t>
          </a:r>
        </a:p>
        <a:p>
          <a:pPr eaLnBrk="0" hangingPunct="0"/>
          <a:r>
            <a:rPr lang="en-US" sz="900" i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Notes: 1H25= first half 2025.  Dates are based on loading date.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0.03966</cdr:x>
      <cdr:y>0.05647</cdr:y>
    </cdr:from>
    <cdr:to>
      <cdr:x>1</cdr:x>
      <cdr:y>0.20536</cdr:y>
    </cdr:to>
    <cdr:sp macro="" textlink="">
      <cdr:nvSpPr>
        <cdr:cNvPr id="4" name="TextBox 1"/>
        <cdr:cNvSpPr txBox="1"/>
      </cdr:nvSpPr>
      <cdr:spPr bwMode="auto">
        <a:xfrm xmlns:a="http://schemas.openxmlformats.org/drawingml/2006/main">
          <a:off x="127001" y="137973"/>
          <a:ext cx="3075421" cy="3637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rtlCol="0">
          <a:prstTxWarp prst="textNoShape">
            <a:avLst/>
          </a:prstTxWarp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by destination</a:t>
          </a:r>
          <a:endParaRPr lang="en-US" sz="1000" b="1" i="0" dirty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i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million barrels per day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0.06054</cdr:y>
    </cdr:from>
    <cdr:to>
      <cdr:x>1</cdr:x>
      <cdr:y>0.20954</cdr:y>
    </cdr:to>
    <cdr:sp macro="" textlink="">
      <cdr:nvSpPr>
        <cdr:cNvPr id="2" name="TextBox 1"/>
        <cdr:cNvSpPr txBox="1"/>
      </cdr:nvSpPr>
      <cdr:spPr bwMode="auto">
        <a:xfrm xmlns:a="http://schemas.openxmlformats.org/drawingml/2006/main">
          <a:off x="0" y="147205"/>
          <a:ext cx="3056659" cy="3622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27432" tIns="27432" rIns="27432" bIns="27432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by origin</a:t>
          </a:r>
          <a:endParaRPr lang="en-US" sz="1000" b="1" i="0" dirty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i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million barrels per day</a:t>
          </a:r>
        </a:p>
      </cdr:txBody>
    </cdr:sp>
  </cdr:relSizeAnchor>
</c:userShape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930A-7EA2-4081-8E3F-AD64866FC911}">
  <dimension ref="A1:G20"/>
  <sheetViews>
    <sheetView showGridLines="0" zoomScale="110" zoomScaleNormal="110" workbookViewId="0">
      <selection activeCell="A2" sqref="A2"/>
    </sheetView>
  </sheetViews>
  <sheetFormatPr defaultColWidth="28.25" defaultRowHeight="14.25" x14ac:dyDescent="0.2"/>
  <cols>
    <col min="1" max="1" width="35.875" style="2" customWidth="1"/>
    <col min="2" max="5" width="10.875" style="2" customWidth="1"/>
    <col min="6" max="7" width="10.75" style="2" customWidth="1"/>
    <col min="8" max="16384" width="28.25" style="2"/>
  </cols>
  <sheetData>
    <row r="1" spans="1:7" x14ac:dyDescent="0.2">
      <c r="A1" s="25" t="s">
        <v>24</v>
      </c>
      <c r="B1" s="1"/>
      <c r="C1" s="1"/>
      <c r="D1" s="1"/>
      <c r="E1" s="1"/>
    </row>
    <row r="2" spans="1:7" ht="15" thickBot="1" x14ac:dyDescent="0.25">
      <c r="A2" s="24" t="s">
        <v>23</v>
      </c>
      <c r="B2" s="3">
        <v>2020</v>
      </c>
      <c r="C2" s="3">
        <v>2021</v>
      </c>
      <c r="D2" s="3">
        <v>2022</v>
      </c>
      <c r="E2" s="3">
        <v>2023</v>
      </c>
      <c r="F2" s="3">
        <v>2024</v>
      </c>
      <c r="G2" s="4" t="s">
        <v>22</v>
      </c>
    </row>
    <row r="3" spans="1:7" ht="15.75" thickTop="1" thickBot="1" x14ac:dyDescent="0.25">
      <c r="A3" s="5" t="s">
        <v>12</v>
      </c>
      <c r="B3" s="6">
        <v>1.2359617759562842</v>
      </c>
      <c r="C3" s="6">
        <v>1.1388796767123288</v>
      </c>
      <c r="D3" s="6">
        <v>1.2689390767123288</v>
      </c>
      <c r="E3" s="6">
        <v>1.6356113671232877</v>
      </c>
      <c r="F3" s="6">
        <v>1.4760996065573773</v>
      </c>
      <c r="G3" s="6">
        <v>1.3867835524861878</v>
      </c>
    </row>
    <row r="4" spans="1:7" ht="15" thickBot="1" x14ac:dyDescent="0.25">
      <c r="A4" s="5" t="s">
        <v>14</v>
      </c>
      <c r="B4" s="6">
        <v>1.0110945109289617</v>
      </c>
      <c r="C4" s="6">
        <v>0.81939153424657529</v>
      </c>
      <c r="D4" s="6">
        <v>0.71304374520547942</v>
      </c>
      <c r="E4" s="6">
        <v>0.91672710684931502</v>
      </c>
      <c r="F4" s="6">
        <v>0.89908628415300551</v>
      </c>
      <c r="G4" s="6">
        <v>1.0710782486187844</v>
      </c>
    </row>
    <row r="5" spans="1:7" ht="15" thickBot="1" x14ac:dyDescent="0.25">
      <c r="A5" s="5" t="s">
        <v>15</v>
      </c>
      <c r="B5" s="6">
        <v>0.70690134153005457</v>
      </c>
      <c r="C5" s="6">
        <v>0.70246501369863013</v>
      </c>
      <c r="D5" s="6">
        <v>0.64671346027397258</v>
      </c>
      <c r="E5" s="6">
        <v>0.6035948739726027</v>
      </c>
      <c r="F5" s="6">
        <v>0.5857819344262295</v>
      </c>
      <c r="G5" s="6">
        <v>0.67954112154696134</v>
      </c>
    </row>
    <row r="6" spans="1:7" ht="15" thickBot="1" x14ac:dyDescent="0.25">
      <c r="A6" s="5" t="s">
        <v>16</v>
      </c>
      <c r="B6" s="6">
        <v>1.0290349071038252</v>
      </c>
      <c r="C6" s="6">
        <v>0.96567211780821915</v>
      </c>
      <c r="D6" s="6">
        <v>0.74961990410958901</v>
      </c>
      <c r="E6" s="6">
        <v>0.73113921917808222</v>
      </c>
      <c r="F6" s="6">
        <v>0.76408414207650266</v>
      </c>
      <c r="G6" s="6">
        <v>0.76812858563535913</v>
      </c>
    </row>
    <row r="7" spans="1:7" ht="15" thickBot="1" x14ac:dyDescent="0.25">
      <c r="A7" s="5" t="s">
        <v>17</v>
      </c>
      <c r="B7" s="6">
        <v>0.73735365846994538</v>
      </c>
      <c r="C7" s="6">
        <v>0.57282529041095887</v>
      </c>
      <c r="D7" s="6">
        <v>0.44347579726027397</v>
      </c>
      <c r="E7" s="6">
        <v>0.36508661369863016</v>
      </c>
      <c r="F7" s="6">
        <v>0.30865178142076499</v>
      </c>
      <c r="G7" s="6">
        <v>0.3840327679558011</v>
      </c>
    </row>
    <row r="8" spans="1:7" ht="15" thickBot="1" x14ac:dyDescent="0.25">
      <c r="A8" s="5" t="s">
        <v>18</v>
      </c>
      <c r="B8" s="6">
        <v>0.79503475683060121</v>
      </c>
      <c r="C8" s="6">
        <v>0.70050047945205474</v>
      </c>
      <c r="D8" s="6">
        <v>0.49850482191780821</v>
      </c>
      <c r="E8" s="6">
        <v>0.51290790684931509</v>
      </c>
      <c r="F8" s="6">
        <v>0.67179675683060114</v>
      </c>
      <c r="G8" s="6">
        <v>0.74072044751381216</v>
      </c>
    </row>
    <row r="9" spans="1:7" ht="15" customHeight="1" thickBot="1" x14ac:dyDescent="0.25">
      <c r="A9" s="5" t="s">
        <v>19</v>
      </c>
      <c r="B9" s="6">
        <v>5.3122363387978142E-2</v>
      </c>
      <c r="C9" s="6">
        <v>2.8734068493150685E-2</v>
      </c>
      <c r="D9" s="6">
        <v>3.4643695890410962E-2</v>
      </c>
      <c r="E9" s="6">
        <v>0</v>
      </c>
      <c r="F9" s="6">
        <v>0.54718906010928958</v>
      </c>
      <c r="G9" s="6">
        <v>0.42037544751381217</v>
      </c>
    </row>
    <row r="10" spans="1:7" ht="15" customHeight="1" thickBot="1" x14ac:dyDescent="0.25">
      <c r="A10" s="5" t="s">
        <v>20</v>
      </c>
      <c r="B10" s="6">
        <v>0.3569431584699454</v>
      </c>
      <c r="C10" s="6">
        <v>0.31702427671232875</v>
      </c>
      <c r="D10" s="6">
        <v>0.30955113150684932</v>
      </c>
      <c r="E10" s="6">
        <v>0.19112630684931506</v>
      </c>
      <c r="F10" s="6">
        <v>0.29414699180327869</v>
      </c>
      <c r="G10" s="6">
        <v>0.23656463535911601</v>
      </c>
    </row>
    <row r="11" spans="1:7" ht="15" customHeight="1" thickBot="1" x14ac:dyDescent="0.25">
      <c r="A11" s="5" t="s">
        <v>21</v>
      </c>
      <c r="B11" s="6">
        <v>1.3977355191256832E-2</v>
      </c>
      <c r="C11" s="6">
        <v>1.1435301369863014E-2</v>
      </c>
      <c r="D11" s="6">
        <v>1.7263753424657535E-3</v>
      </c>
      <c r="E11" s="6">
        <v>2.8412054794520547E-3</v>
      </c>
      <c r="F11" s="6">
        <v>4.4223893442622952E-2</v>
      </c>
      <c r="G11" s="6">
        <v>0.16399090055248619</v>
      </c>
    </row>
    <row r="12" spans="1:7" ht="14.25" customHeight="1" thickBot="1" x14ac:dyDescent="0.25">
      <c r="A12" s="7" t="s">
        <v>13</v>
      </c>
      <c r="B12" s="8">
        <v>0.5963776830601093</v>
      </c>
      <c r="C12" s="8">
        <v>0.54299333698630137</v>
      </c>
      <c r="D12" s="8">
        <v>0.2614986821917808</v>
      </c>
      <c r="E12" s="8">
        <v>0.14231258356164384</v>
      </c>
      <c r="F12" s="8">
        <v>0.25610570491803281</v>
      </c>
      <c r="G12" s="8">
        <v>0.26810498895027624</v>
      </c>
    </row>
    <row r="13" spans="1:7" ht="15" thickTop="1" x14ac:dyDescent="0.2">
      <c r="A13" s="22" t="s">
        <v>0</v>
      </c>
      <c r="B13" s="22"/>
      <c r="C13" s="22"/>
      <c r="D13" s="22"/>
      <c r="E13" s="22"/>
      <c r="F13" s="22"/>
    </row>
    <row r="14" spans="1:7" x14ac:dyDescent="0.2">
      <c r="A14" s="23" t="s">
        <v>1</v>
      </c>
      <c r="B14" s="23"/>
      <c r="C14" s="23"/>
      <c r="D14" s="23"/>
      <c r="E14" s="23"/>
      <c r="F14" s="23"/>
      <c r="G14" s="9"/>
    </row>
    <row r="16" spans="1:7" x14ac:dyDescent="0.2">
      <c r="C16" s="10"/>
    </row>
    <row r="17" spans="1:3" x14ac:dyDescent="0.2">
      <c r="B17" s="11"/>
      <c r="C17" s="12"/>
    </row>
    <row r="20" spans="1:3" ht="15" x14ac:dyDescent="0.25">
      <c r="A20" s="15" t="s">
        <v>2</v>
      </c>
    </row>
  </sheetData>
  <mergeCells count="2">
    <mergeCell ref="A13:F13"/>
    <mergeCell ref="A14:F14"/>
  </mergeCells>
  <pageMargins left="0.7" right="0.7" top="0.75" bottom="0.75" header="0.3" footer="0.3"/>
  <pageSetup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1DEF-4524-4DA0-A4AA-A6F218C45715}">
  <dimension ref="A1:H19"/>
  <sheetViews>
    <sheetView showGridLines="0" tabSelected="1" zoomScale="120" zoomScaleNormal="120" workbookViewId="0">
      <selection activeCell="A2" sqref="A2"/>
    </sheetView>
  </sheetViews>
  <sheetFormatPr defaultColWidth="28.25" defaultRowHeight="14.25" x14ac:dyDescent="0.2"/>
  <cols>
    <col min="1" max="1" width="35.875" style="2" customWidth="1"/>
    <col min="2" max="5" width="10.875" style="2" customWidth="1"/>
    <col min="6" max="7" width="10.75" style="2" customWidth="1"/>
    <col min="8" max="16384" width="28.25" style="2"/>
  </cols>
  <sheetData>
    <row r="1" spans="1:8" x14ac:dyDescent="0.2">
      <c r="A1" s="25" t="s">
        <v>25</v>
      </c>
      <c r="B1" s="1"/>
      <c r="C1" s="1"/>
      <c r="D1" s="1"/>
      <c r="E1" s="1"/>
    </row>
    <row r="2" spans="1:8" ht="15" thickBot="1" x14ac:dyDescent="0.25">
      <c r="A2" s="24" t="s">
        <v>23</v>
      </c>
      <c r="B2" s="3">
        <v>2020</v>
      </c>
      <c r="C2" s="3">
        <v>2021</v>
      </c>
      <c r="D2" s="3">
        <v>2022</v>
      </c>
      <c r="E2" s="3">
        <v>2023</v>
      </c>
      <c r="F2" s="3">
        <v>2024</v>
      </c>
      <c r="G2" s="4" t="s">
        <v>22</v>
      </c>
    </row>
    <row r="3" spans="1:8" s="18" customFormat="1" ht="15.75" thickTop="1" thickBot="1" x14ac:dyDescent="0.25">
      <c r="A3" s="16" t="s">
        <v>4</v>
      </c>
      <c r="B3" s="17">
        <v>3.3904391229508195</v>
      </c>
      <c r="C3" s="17">
        <v>2.5698231945205481</v>
      </c>
      <c r="D3" s="17">
        <v>2.0761453643835615</v>
      </c>
      <c r="E3" s="17">
        <v>2.5312484767123289</v>
      </c>
      <c r="F3" s="17">
        <v>2.2352646502732241</v>
      </c>
      <c r="G3" s="17">
        <v>2.522721303867403</v>
      </c>
    </row>
    <row r="4" spans="1:8" s="18" customFormat="1" ht="15" thickBot="1" x14ac:dyDescent="0.25">
      <c r="A4" s="16" t="s">
        <v>5</v>
      </c>
      <c r="B4" s="17">
        <v>1.0231091393442622</v>
      </c>
      <c r="C4" s="17">
        <v>1.1445822876712328</v>
      </c>
      <c r="D4" s="17">
        <v>0.76536178356164386</v>
      </c>
      <c r="E4" s="17">
        <v>0.52863022739726029</v>
      </c>
      <c r="F4" s="17">
        <v>0.69998218579234983</v>
      </c>
      <c r="G4" s="17">
        <v>0.83311624861878453</v>
      </c>
    </row>
    <row r="5" spans="1:8" s="18" customFormat="1" ht="15" thickBot="1" x14ac:dyDescent="0.25">
      <c r="A5" s="16" t="s">
        <v>6</v>
      </c>
      <c r="B5" s="17">
        <v>0.50672698087431689</v>
      </c>
      <c r="C5" s="17">
        <v>0.67953672876712323</v>
      </c>
      <c r="D5" s="17">
        <v>0.57915371780821923</v>
      </c>
      <c r="E5" s="17">
        <v>0.56490512602739729</v>
      </c>
      <c r="F5" s="17">
        <v>0.66951555464480883</v>
      </c>
      <c r="G5" s="17">
        <v>0.71662790607734816</v>
      </c>
    </row>
    <row r="6" spans="1:8" s="18" customFormat="1" ht="15" thickBot="1" x14ac:dyDescent="0.25">
      <c r="A6" s="16" t="s">
        <v>7</v>
      </c>
      <c r="B6" s="17">
        <v>0.18702970491803278</v>
      </c>
      <c r="C6" s="17">
        <v>0.19340529041095889</v>
      </c>
      <c r="D6" s="17">
        <v>0.19510847671232878</v>
      </c>
      <c r="E6" s="17">
        <v>0.23832109041095892</v>
      </c>
      <c r="F6" s="17">
        <v>0.21864625136612023</v>
      </c>
      <c r="G6" s="17">
        <v>0.25836533701657455</v>
      </c>
    </row>
    <row r="7" spans="1:8" s="18" customFormat="1" ht="15" thickBot="1" x14ac:dyDescent="0.25">
      <c r="A7" s="16" t="s">
        <v>8</v>
      </c>
      <c r="B7" s="17">
        <v>8.6438349726775957E-2</v>
      </c>
      <c r="C7" s="17">
        <v>0.11080325205479452</v>
      </c>
      <c r="D7" s="17">
        <v>0.17635915342465755</v>
      </c>
      <c r="E7" s="17">
        <v>0.24247769863013699</v>
      </c>
      <c r="F7" s="17">
        <v>0.20960901639344262</v>
      </c>
      <c r="G7" s="17">
        <v>0.20167875690607737</v>
      </c>
    </row>
    <row r="8" spans="1:8" s="18" customFormat="1" ht="15" thickBot="1" x14ac:dyDescent="0.25">
      <c r="A8" s="16" t="s">
        <v>9</v>
      </c>
      <c r="B8" s="17">
        <v>0.18505769672131148</v>
      </c>
      <c r="C8" s="17">
        <v>0.2281534109589041</v>
      </c>
      <c r="D8" s="17">
        <v>0.36806115616438356</v>
      </c>
      <c r="E8" s="17">
        <v>0.33700861643835617</v>
      </c>
      <c r="F8" s="17">
        <v>0.37363713934426229</v>
      </c>
      <c r="G8" s="17">
        <v>0.19169914917127073</v>
      </c>
    </row>
    <row r="9" spans="1:8" s="18" customFormat="1" ht="15" thickBot="1" x14ac:dyDescent="0.25">
      <c r="A9" s="16" t="s">
        <v>10</v>
      </c>
      <c r="B9" s="17">
        <v>0.36566915300546449</v>
      </c>
      <c r="C9" s="17">
        <v>0.23656848493150687</v>
      </c>
      <c r="D9" s="17">
        <v>0.22774826301369863</v>
      </c>
      <c r="E9" s="17">
        <v>0.32444865479452056</v>
      </c>
      <c r="F9" s="17">
        <v>0.38905316666666667</v>
      </c>
      <c r="G9" s="17">
        <v>0.47898402762430942</v>
      </c>
    </row>
    <row r="10" spans="1:8" s="18" customFormat="1" ht="15" thickBot="1" x14ac:dyDescent="0.25">
      <c r="A10" s="16" t="s">
        <v>11</v>
      </c>
      <c r="B10" s="17">
        <v>3.6937666666666667E-2</v>
      </c>
      <c r="C10" s="17">
        <v>3.8208493150684929E-3</v>
      </c>
      <c r="D10" s="17">
        <v>3.2369654794520544E-2</v>
      </c>
      <c r="E10" s="17">
        <v>2.342358904109589E-3</v>
      </c>
      <c r="F10" s="17">
        <v>0.60727233606557374</v>
      </c>
      <c r="G10" s="17">
        <v>0.48923009944751378</v>
      </c>
    </row>
    <row r="11" spans="1:8" s="18" customFormat="1" ht="15" thickBot="1" x14ac:dyDescent="0.25">
      <c r="A11" s="16" t="s">
        <v>12</v>
      </c>
      <c r="B11" s="17">
        <v>0.32316045355191259</v>
      </c>
      <c r="C11" s="17">
        <v>0.28231938082191782</v>
      </c>
      <c r="D11" s="17">
        <v>0.25985383835616438</v>
      </c>
      <c r="E11" s="17">
        <v>0.16975961369863016</v>
      </c>
      <c r="F11" s="17">
        <v>0.24623138251366122</v>
      </c>
      <c r="G11" s="17">
        <v>0.19436896685082872</v>
      </c>
    </row>
    <row r="12" spans="1:8" s="18" customFormat="1" ht="15" customHeight="1" thickBot="1" x14ac:dyDescent="0.25">
      <c r="A12" s="19" t="s">
        <v>13</v>
      </c>
      <c r="B12" s="20">
        <v>0.43123324316939893</v>
      </c>
      <c r="C12" s="20">
        <v>0.35090821643835618</v>
      </c>
      <c r="D12" s="20">
        <v>0.24755528219178083</v>
      </c>
      <c r="E12" s="20">
        <v>0.1622053205479452</v>
      </c>
      <c r="F12" s="20">
        <v>0.19795447267759561</v>
      </c>
      <c r="G12" s="20">
        <v>0.23252890055248618</v>
      </c>
    </row>
    <row r="13" spans="1:8" ht="15" thickTop="1" x14ac:dyDescent="0.2">
      <c r="A13" s="22" t="s">
        <v>3</v>
      </c>
      <c r="B13" s="22"/>
      <c r="C13" s="22"/>
      <c r="D13" s="22"/>
      <c r="E13" s="22"/>
      <c r="F13" s="22"/>
    </row>
    <row r="14" spans="1:8" s="9" customFormat="1" ht="14.25" customHeight="1" x14ac:dyDescent="0.2">
      <c r="A14" s="23" t="s">
        <v>1</v>
      </c>
      <c r="B14" s="23"/>
      <c r="C14" s="23"/>
      <c r="D14" s="23"/>
      <c r="E14" s="23"/>
      <c r="F14" s="23"/>
      <c r="G14" s="2"/>
      <c r="H14" s="2"/>
    </row>
    <row r="15" spans="1:8" ht="14.25" customHeight="1" x14ac:dyDescent="0.2"/>
    <row r="16" spans="1:8" x14ac:dyDescent="0.2">
      <c r="A16" s="21"/>
    </row>
    <row r="17" spans="2:6" x14ac:dyDescent="0.2">
      <c r="B17" s="11"/>
      <c r="C17" s="12"/>
      <c r="D17" s="12"/>
      <c r="E17" s="12"/>
      <c r="F17" s="10"/>
    </row>
    <row r="19" spans="2:6" x14ac:dyDescent="0.2">
      <c r="D19" s="13"/>
      <c r="F19" s="14"/>
    </row>
  </sheetData>
  <mergeCells count="2">
    <mergeCell ref="A13:F13"/>
    <mergeCell ref="A14:F14"/>
  </mergeCells>
  <pageMargins left="0.7" right="0.7" top="0.75" bottom="0.75" header="0.3" footer="0.3"/>
  <pageSetup orientation="portrait" verticalDpi="599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CrudeByOrigin_F14</vt:lpstr>
      <vt:lpstr>CrudeByDestination_F14</vt:lpstr>
    </vt:vector>
  </TitlesOfParts>
  <Company>U.S. Energy Information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Barden, Justine</dc:creator>
  <cp:lastModifiedBy>Barden, Justine</cp:lastModifiedBy>
  <dcterms:created xsi:type="dcterms:W3CDTF">2026-02-26T13:40:45Z</dcterms:created>
  <dcterms:modified xsi:type="dcterms:W3CDTF">2026-03-02T17:32:22Z</dcterms:modified>
</cp:coreProperties>
</file>